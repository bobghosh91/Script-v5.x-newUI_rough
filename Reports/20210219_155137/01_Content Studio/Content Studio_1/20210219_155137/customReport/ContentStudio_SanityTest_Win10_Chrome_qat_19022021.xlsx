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talon\Script v5.x-newUI\Reports\20210219_155137\01_Content Studio\Content Studio_1\20210219_155137\customReport\"/>
    </mc:Choice>
  </mc:AlternateContent>
  <xr:revisionPtr revIDLastSave="0" documentId="13_ncr:1_{42231418-54AD-445F-9A0C-CE24EA13C43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1" l="1"/>
  <c r="D6" i="1"/>
  <c r="G5" i="1"/>
  <c r="D5" i="1"/>
  <c r="G4" i="1"/>
  <c r="D4" i="1"/>
  <c r="G3" i="1"/>
  <c r="D3" i="1"/>
  <c r="G2" i="1"/>
  <c r="D2" i="1"/>
</calcChain>
</file>

<file path=xl/sharedStrings.xml><?xml version="1.0" encoding="utf-8"?>
<sst xmlns="http://schemas.openxmlformats.org/spreadsheetml/2006/main" count="68" uniqueCount="34">
  <si>
    <t>TC-ID</t>
  </si>
  <si>
    <t>Initial Developer</t>
  </si>
  <si>
    <t>Script Title</t>
  </si>
  <si>
    <t>Execution Status</t>
  </si>
  <si>
    <t>Issue category</t>
  </si>
  <si>
    <t>Issue Entity</t>
  </si>
  <si>
    <t>Issue Entity Recurrence</t>
  </si>
  <si>
    <t>Issue Details</t>
  </si>
  <si>
    <t>Image Path</t>
  </si>
  <si>
    <t>Analysis Status</t>
  </si>
  <si>
    <t>Action Decided/Taken</t>
  </si>
  <si>
    <t>VSTS TC Priority</t>
  </si>
  <si>
    <t>VSTS Automation Status</t>
  </si>
  <si>
    <t>Automation Suite</t>
  </si>
  <si>
    <t>URL</t>
  </si>
  <si>
    <t>Browser Details</t>
  </si>
  <si>
    <t>Catalog Details</t>
  </si>
  <si>
    <t>App Details</t>
  </si>
  <si>
    <t>294264</t>
  </si>
  <si>
    <t>Login In Content Studio</t>
  </si>
  <si>
    <t/>
  </si>
  <si>
    <t>Couldn't retrieve (VSTS token may be missing OR Temporary issue)</t>
  </si>
  <si>
    <t>Content Studio_1</t>
  </si>
  <si>
    <t>https://contentstudio-qat.2020-platform.net/index.html</t>
  </si>
  <si>
    <t>[chrome: 88.0.4324.182]</t>
  </si>
  <si>
    <t>Couldn't retrieve (Site Load Issue/Browser Terminated/Unknown Issue)</t>
  </si>
  <si>
    <t>294266</t>
  </si>
  <si>
    <t>Create a new Catalog</t>
  </si>
  <si>
    <t>294277</t>
  </si>
  <si>
    <t>Edit Catalog with WIP state</t>
  </si>
  <si>
    <t>294452</t>
  </si>
  <si>
    <t>Importing PAF and Catalog Assets on new catalog</t>
  </si>
  <si>
    <t>393610</t>
  </si>
  <si>
    <t>To generate Release Note for Base Version of a catalog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</si>
</sst>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v.azure.com/2020Development/2020%20Programs/_workitems/edit/294277" TargetMode="External"/><Relationship Id="rId2" Type="http://schemas.openxmlformats.org/officeDocument/2006/relationships/hyperlink" Target="https://dev.azure.com/2020Development/2020%20Programs/_workitems/edit/294266" TargetMode="External"/><Relationship Id="rId1" Type="http://schemas.openxmlformats.org/officeDocument/2006/relationships/hyperlink" Target="https://dev.azure.com/2020Development/2020%20Programs/_workitems/edit/294264" TargetMode="External"/><Relationship Id="rId5" Type="http://schemas.openxmlformats.org/officeDocument/2006/relationships/hyperlink" Target="https://dev.azure.com/2020Development/2020%20Programs/_workitems/edit/393610" TargetMode="External"/><Relationship Id="rId4" Type="http://schemas.openxmlformats.org/officeDocument/2006/relationships/hyperlink" Target="https://dev.azure.com/2020Development/2020%20Programs/_workitems/edit/2944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workbookViewId="0">
      <selection activeCell="Q1" activeCellId="1" sqref="R1:R1048576 Q1:Q1048576"/>
    </sheetView>
  </sheetViews>
  <sheetFormatPr defaultRowHeight="15" x14ac:dyDescent="0.25"/>
  <cols>
    <col min="1" max="1" width="7" bestFit="1" customWidth="1"/>
    <col min="2" max="2" width="16" hidden="1" customWidth="1"/>
    <col min="3" max="3" width="50.5703125" bestFit="1" customWidth="1"/>
    <col min="4" max="4" width="15.7109375" bestFit="1" customWidth="1"/>
    <col min="5" max="5" width="13.7109375" hidden="1" customWidth="1"/>
    <col min="6" max="6" width="11.140625" hidden="1" customWidth="1"/>
    <col min="7" max="7" width="22" hidden="1" customWidth="1"/>
    <col min="8" max="8" width="12.140625" bestFit="1" customWidth="1"/>
    <col min="9" max="9" width="10.85546875" bestFit="1" customWidth="1"/>
    <col min="10" max="10" width="14.28515625" bestFit="1" customWidth="1"/>
    <col min="11" max="11" width="20.85546875" bestFit="1" customWidth="1"/>
    <col min="12" max="13" width="61.42578125" hidden="1" customWidth="1"/>
    <col min="14" max="14" width="16.7109375" bestFit="1" customWidth="1"/>
    <col min="15" max="15" width="52.42578125" bestFit="1" customWidth="1"/>
    <col min="16" max="16" width="22.28515625" bestFit="1" customWidth="1"/>
    <col min="17" max="18" width="65.85546875" hidden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 t="s">
        <v>18</v>
      </c>
      <c r="C2" t="s">
        <v>19</v>
      </c>
      <c r="D2" t="str">
        <f ca="1">IF(ISNUMBER(SEARCH("passed",INDIRECT("J"&amp;ROW()))),"PASSED",IF(ISNUMBER(SEARCH("defect",INDIRECT("J"&amp;ROW()))),"FAILED",IF(ISNUMBER(SEARCH("blocked",INDIRECT("J"&amp;ROW()))),"BLOCKED","PASSED")))</f>
        <v>PASSED</v>
      </c>
      <c r="G2">
        <f ca="1">COUNTIF(F:F,OFFSET(INDIRECT(ADDRESS(ROW(), COLUMN())),0,-1))</f>
        <v>0</v>
      </c>
      <c r="J2" t="s">
        <v>20</v>
      </c>
      <c r="L2" t="s">
        <v>21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  <c r="R2" t="s">
        <v>25</v>
      </c>
    </row>
    <row r="3" spans="1:18" x14ac:dyDescent="0.25">
      <c r="A3" s="2" t="s">
        <v>26</v>
      </c>
      <c r="C3" t="s">
        <v>27</v>
      </c>
      <c r="D3" t="str">
        <f ca="1">IF(ISNUMBER(SEARCH("passed",INDIRECT("J"&amp;ROW()))),"PASSED",IF(ISNUMBER(SEARCH("defect",INDIRECT("J"&amp;ROW()))),"FAILED",IF(ISNUMBER(SEARCH("blocked",INDIRECT("J"&amp;ROW()))),"BLOCKED","PASSED")))</f>
        <v>PASSED</v>
      </c>
      <c r="G3">
        <f ca="1">COUNTIF(F:F,OFFSET(INDIRECT(ADDRESS(ROW(), COLUMN())),0,-1))</f>
        <v>0</v>
      </c>
      <c r="J3" t="s">
        <v>20</v>
      </c>
      <c r="L3" t="s">
        <v>21</v>
      </c>
      <c r="M3" t="s">
        <v>21</v>
      </c>
      <c r="N3" t="s">
        <v>22</v>
      </c>
      <c r="O3" t="s">
        <v>23</v>
      </c>
      <c r="P3" t="s">
        <v>24</v>
      </c>
      <c r="Q3" t="s">
        <v>25</v>
      </c>
      <c r="R3" t="s">
        <v>25</v>
      </c>
    </row>
    <row r="4" spans="1:18" x14ac:dyDescent="0.25">
      <c r="A4" s="3" t="s">
        <v>28</v>
      </c>
      <c r="C4" t="s">
        <v>29</v>
      </c>
      <c r="D4" t="str">
        <f ca="1">IF(ISNUMBER(SEARCH("passed",INDIRECT("J"&amp;ROW()))),"PASSED",IF(ISNUMBER(SEARCH("defect",INDIRECT("J"&amp;ROW()))),"FAILED",IF(ISNUMBER(SEARCH("blocked",INDIRECT("J"&amp;ROW()))),"BLOCKED","PASSED")))</f>
        <v>PASSED</v>
      </c>
      <c r="G4">
        <f ca="1">COUNTIF(F:F,OFFSET(INDIRECT(ADDRESS(ROW(), COLUMN())),0,-1))</f>
        <v>0</v>
      </c>
      <c r="J4" t="s">
        <v>20</v>
      </c>
      <c r="L4" t="s">
        <v>21</v>
      </c>
      <c r="M4" t="s">
        <v>21</v>
      </c>
      <c r="N4" t="s">
        <v>22</v>
      </c>
      <c r="O4" t="s">
        <v>23</v>
      </c>
      <c r="P4" t="s">
        <v>24</v>
      </c>
      <c r="Q4" t="s">
        <v>25</v>
      </c>
      <c r="R4" t="s">
        <v>25</v>
      </c>
    </row>
    <row r="5" spans="1:18" x14ac:dyDescent="0.25">
      <c r="A5" s="4" t="s">
        <v>30</v>
      </c>
      <c r="C5" t="s">
        <v>31</v>
      </c>
      <c r="D5" t="str">
        <f ca="1">IF(ISNUMBER(SEARCH("passed",INDIRECT("J"&amp;ROW()))),"PASSED",IF(ISNUMBER(SEARCH("defect",INDIRECT("J"&amp;ROW()))),"FAILED",IF(ISNUMBER(SEARCH("blocked",INDIRECT("J"&amp;ROW()))),"BLOCKED","PASSED")))</f>
        <v>PASSED</v>
      </c>
      <c r="G5">
        <f ca="1">COUNTIF(F:F,OFFSET(INDIRECT(ADDRESS(ROW(), COLUMN())),0,-1))</f>
        <v>0</v>
      </c>
      <c r="J5" t="s">
        <v>20</v>
      </c>
      <c r="L5" t="s">
        <v>21</v>
      </c>
      <c r="M5" t="s">
        <v>21</v>
      </c>
      <c r="N5" t="s">
        <v>22</v>
      </c>
      <c r="O5" t="s">
        <v>23</v>
      </c>
      <c r="P5" t="s">
        <v>24</v>
      </c>
      <c r="Q5" t="s">
        <v>25</v>
      </c>
      <c r="R5" t="s">
        <v>25</v>
      </c>
    </row>
    <row r="6" spans="1:18" x14ac:dyDescent="0.25">
      <c r="A6" s="5" t="s">
        <v>32</v>
      </c>
      <c r="C6" t="s">
        <v>33</v>
      </c>
      <c r="D6" t="str">
        <f ca="1">IF(ISNUMBER(SEARCH("passed",INDIRECT("J"&amp;ROW()))),"PASSED",IF(ISNUMBER(SEARCH("defect",INDIRECT("J"&amp;ROW()))),"FAILED",IF(ISNUMBER(SEARCH("blocked",INDIRECT("J"&amp;ROW()))),"BLOCKED","PASSED")))</f>
        <v>PASSED</v>
      </c>
      <c r="G6">
        <f ca="1">COUNTIF(F:F,OFFSET(INDIRECT(ADDRESS(ROW(), COLUMN())),0,-1))</f>
        <v>0</v>
      </c>
      <c r="J6" t="s">
        <v>20</v>
      </c>
      <c r="L6" t="s">
        <v>21</v>
      </c>
      <c r="M6" t="s">
        <v>21</v>
      </c>
      <c r="N6" t="s">
        <v>22</v>
      </c>
      <c r="O6" t="s">
        <v>23</v>
      </c>
      <c r="P6" t="s">
        <v>24</v>
      </c>
      <c r="Q6" t="s">
        <v>25</v>
      </c>
      <c r="R6" t="s">
        <v>25</v>
      </c>
    </row>
  </sheetData>
  <dataValidations count="2">
    <dataValidation type="list" allowBlank="1" showErrorMessage="1" sqref="D2:D6" xr:uid="{00000000-0002-0000-0000-000000000000}">
      <formula1>"PASSED,ERROR,FAILED,NOT EXECUTED,VERIFY,BLOCKED"</formula1>
    </dataValidation>
    <dataValidation type="list" allowBlank="1" showErrorMessage="1" sqref="J2:J6" xr:uid="{00000000-0002-0000-0000-000001000000}">
      <formula1>"Passed (by Re-Run),Passed (by Image Verification),Passed (by Manual Verification),Defect,Blocked,Pending"</formula1>
    </dataValidation>
  </dataValidations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Bob Ghosh</cp:lastModifiedBy>
  <dcterms:created xsi:type="dcterms:W3CDTF">2021-02-19T10:22:26Z</dcterms:created>
  <dcterms:modified xsi:type="dcterms:W3CDTF">2021-02-19T10:41:46Z</dcterms:modified>
</cp:coreProperties>
</file>